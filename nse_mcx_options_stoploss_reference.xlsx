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ntract Specs" sheetId="2" state="visible" r:id="rId4"/>
    <sheet name="Order Rules" sheetId="3" state="visible" r:id="rId5"/>
    <sheet name="SL Methods" sheetId="4" state="visible" r:id="rId6"/>
    <sheet name="Sources" sheetId="5" state="visible" r:id="rId7"/>
    <sheet name="Risk Calculato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<sst xmlns="http://schemas.openxmlformats.org/spreadsheetml/2006/main" count="394" uniqueCount="311">
  <si>
    <t xml:space="preserve">Options stop-loss reference: Nifty, BankNifty and MCX</t>
  </si>
  <si>
    <t xml:space="preserve">Built 23 Oct 2026 from the research bullets in this chat. Factual background only, not trading advice. Exchange and broker rules change; verify before relying on any row.</t>
  </si>
  <si>
    <t xml:space="preserve">HOW TO USE</t>
  </si>
  <si>
    <t xml:space="preserve">Contract Specs, Order Rules, SL Methods and Sources are Excel tables: use the header drop-downs to sort or filter. To add a row, type directly under the last row so the table (and the calculator's lookups) expand.</t>
  </si>
  <si>
    <t xml:space="preserve">Risk Calculator: edit the yellow cells. Pick an instrument from the drop-down; lot size and price multiplier are looked up from Contract Specs, so updating a lot size there updates the calculator.</t>
  </si>
  <si>
    <t xml:space="preserve">SL Methods: fill the yellow 'Your setting' column with the parameters you actually use.</t>
  </si>
  <si>
    <t xml:space="preserve">COLOUR LEGEND</t>
  </si>
  <si>
    <t xml:space="preserve">Blue text = hardcoded input or researched figure you can overwrite. Black text = formula. Yellow fill = cells meant for you to edit.</t>
  </si>
  <si>
    <t xml:space="preserve">DEFAULTS AND ASSUMPTIONS I MADE (change freely)</t>
  </si>
  <si>
    <t xml:space="preserve">1. Calculator example trade: capital Rs 10,00,000, max risk 1% per trade, long Nifty option bought at 150 with stop trigger 105 and a Rs 5 SL-L limit buffer. These are placeholders to show the format, not recommendations.</t>
  </si>
  <si>
    <t xml:space="preserve">2. MCX 'Price multiplier' (Rs P&amp;L per Rs 1 move in premium, per lot) is my assumption from typical MCX quotation units (gold per 10 g, silver/copper/zinc per kg, crude per barrel, natural gas per mmBtu). It was NOT in the sources I found. Confirm against your broker's contract details before trusting the calculator for MCX.</t>
  </si>
  <si>
    <t xml:space="preserve">3. NSE multiplier equals the lot size (index options are quoted per index point).</t>
  </si>
  <si>
    <t xml:space="preserve">4. Expiry timing for MCX contracts other than Gold and Crude Oil was not researched; those cells say so.</t>
  </si>
  <si>
    <t xml:space="preserve">5. Order-type and product restrictions for MCX come from Zerodha's help pages and are broker-specific. Check your own broker.</t>
  </si>
  <si>
    <t xml:space="preserve">KNOWN CONFLICTS / WEAK SPOTS IN THE SOURCES</t>
  </si>
  <si>
    <t xml:space="preserve">Copper and Zinc option lot sizes: Zerodha lists 2,500 kg and 5 MT; INDmoney lists 1 tonne for each. I used Zerodha's figures.</t>
  </si>
  <si>
    <t xml:space="preserve">One NSE BankNifty weekly-options spec page snippet showed 40 units and Thursday expiry, which conflicts with three other sources (30 units, monthly only). It looks outdated; verify on nseindia.com.</t>
  </si>
  <si>
    <t xml:space="preserve">The Nifty weekly expiry weekday (Tuesday) came from a single source.</t>
  </si>
  <si>
    <t xml:space="preserve">Contract specifications (lot sizes as of research date)</t>
  </si>
  <si>
    <t xml:space="preserve">Researched 23 Oct 2026. Blue = editable input. Source IDs refer to the Sources tab. Column G feeds the Risk Calculator.</t>
  </si>
  <si>
    <t xml:space="preserve">Exchange</t>
  </si>
  <si>
    <t xml:space="preserve">Instrument</t>
  </si>
  <si>
    <t xml:space="preserve">Underlying</t>
  </si>
  <si>
    <t xml:space="preserve">Lot size</t>
  </si>
  <si>
    <t xml:space="preserve">Lot unit</t>
  </si>
  <si>
    <t xml:space="preserve">Premium quote unit (assumed)</t>
  </si>
  <si>
    <t xml:space="preserve">Rs per Rs 1 premium move, per lot</t>
  </si>
  <si>
    <t xml:space="preserve">Expiry pattern</t>
  </si>
  <si>
    <t xml:space="preserve">Notes</t>
  </si>
  <si>
    <t xml:space="preserve">Source IDs</t>
  </si>
  <si>
    <t xml:space="preserve">NSE</t>
  </si>
  <si>
    <t xml:space="preserve">Nifty 50 options</t>
  </si>
  <si>
    <t xml:space="preserve">Nifty 50 index</t>
  </si>
  <si>
    <t xml:space="preserve">units</t>
  </si>
  <si>
    <t xml:space="preserve">per index point</t>
  </si>
  <si>
    <t xml:space="preserve">Weekly (Tuesday) plus monthly</t>
  </si>
  <si>
    <t xml:space="preserve">Lot size effective Jan 2026. Expiry weekday from a single source; verify.</t>
  </si>
  <si>
    <t xml:space="preserve">S1, S3</t>
  </si>
  <si>
    <t xml:space="preserve">BankNifty options</t>
  </si>
  <si>
    <t xml:space="preserve">Bank Nifty index</t>
  </si>
  <si>
    <t xml:space="preserve">Monthly only (last Tuesday)</t>
  </si>
  <si>
    <t xml:space="preserve">Weekly options ended after 13 Nov 2024. Lot of 30 confirmed as of 29 Sep 2026. A stale-looking NSE page shows 40 units and Thursday weekly; verify.</t>
  </si>
  <si>
    <t xml:space="preserve">S1, S2, S3, S4, S5</t>
  </si>
  <si>
    <t xml:space="preserve">MCX</t>
  </si>
  <si>
    <t xml:space="preserve">MCX Gold options</t>
  </si>
  <si>
    <t xml:space="preserve">Gold futures</t>
  </si>
  <si>
    <t xml:space="preserve">kg</t>
  </si>
  <si>
    <t xml:space="preserve">per 10 g</t>
  </si>
  <si>
    <t xml:space="preserve">Monthly; options expire 7 trading days before futures expiry</t>
  </si>
  <si>
    <t xml:space="preserve">Multiplier assumed from typical MCX quote units; confirm with broker. European-style, options on futures.</t>
  </si>
  <si>
    <t xml:space="preserve">S6, S7, S8</t>
  </si>
  <si>
    <t xml:space="preserve">MCX Gold Mini options</t>
  </si>
  <si>
    <t xml:space="preserve">Gold Mini futures</t>
  </si>
  <si>
    <t xml:space="preserve">g</t>
  </si>
  <si>
    <t xml:space="preserve">Not researched, verify</t>
  </si>
  <si>
    <t xml:space="preserve">S6, S7</t>
  </si>
  <si>
    <t xml:space="preserve">MCX Silver options</t>
  </si>
  <si>
    <t xml:space="preserve">Silver futures</t>
  </si>
  <si>
    <t xml:space="preserve">per kg</t>
  </si>
  <si>
    <t xml:space="preserve">MCX Silver Mini options</t>
  </si>
  <si>
    <t xml:space="preserve">Silver Mini futures</t>
  </si>
  <si>
    <t xml:space="preserve">S6</t>
  </si>
  <si>
    <t xml:space="preserve">MCX Crude Oil options</t>
  </si>
  <si>
    <t xml:space="preserve">Crude Oil futures</t>
  </si>
  <si>
    <t xml:space="preserve">bbl</t>
  </si>
  <si>
    <t xml:space="preserve">per bbl</t>
  </si>
  <si>
    <t xml:space="preserve">Options expire 2 trading days before futures expiry; two months of contracts allowed at Zerodha</t>
  </si>
  <si>
    <t xml:space="preserve">MCX Crude Oil Mini options</t>
  </si>
  <si>
    <t xml:space="preserve">Crude Oil Mini futures</t>
  </si>
  <si>
    <t xml:space="preserve">MCX Natural Gas options</t>
  </si>
  <si>
    <t xml:space="preserve">Natural Gas futures</t>
  </si>
  <si>
    <t xml:space="preserve">mmBtu</t>
  </si>
  <si>
    <t xml:space="preserve">per mmBtu</t>
  </si>
  <si>
    <t xml:space="preserve">Not researched, verify (two months of contracts allowed at Zerodha)</t>
  </si>
  <si>
    <t xml:space="preserve">MCX Natural Gas Mini options</t>
  </si>
  <si>
    <t xml:space="preserve">Natural Gas Mini futures</t>
  </si>
  <si>
    <t xml:space="preserve">MCX Copper options</t>
  </si>
  <si>
    <t xml:space="preserve">Copper futures</t>
  </si>
  <si>
    <t xml:space="preserve">Zerodha says 2,500 kg; INDmoney says 1 tonne. Used Zerodha. Multiplier assumed from typical MCX quote units; confirm with broker. European-style, options on futures.</t>
  </si>
  <si>
    <t xml:space="preserve">MCX Zinc options</t>
  </si>
  <si>
    <t xml:space="preserve">Zinc futures</t>
  </si>
  <si>
    <t xml:space="preserve">MT</t>
  </si>
  <si>
    <t xml:space="preserve">Zerodha says 5 MT; INDmoney says 1 tonne. Used Zerodha. Multiplier = 5 MT x 1,000 kg. Multiplier assumed from typical MCX quote units; confirm with broker. European-style, options on futures.</t>
  </si>
  <si>
    <t xml:space="preserve">Order types, exchange rules and broker restrictions</t>
  </si>
  <si>
    <t xml:space="preserve">Confidence column shows how well supported each row was in my research. Source IDs refer to the Sources tab.</t>
  </si>
  <si>
    <t xml:space="preserve">#</t>
  </si>
  <si>
    <t xml:space="preserve">Area</t>
  </si>
  <si>
    <t xml:space="preserve">Applies to</t>
  </si>
  <si>
    <t xml:space="preserve">Rule</t>
  </si>
  <si>
    <t xml:space="preserve">Why it matters for stops</t>
  </si>
  <si>
    <t xml:space="preserve">Confidence</t>
  </si>
  <si>
    <t xml:space="preserve">Order type</t>
  </si>
  <si>
    <t xml:space="preserve">NSE options</t>
  </si>
  <si>
    <t xml:space="preserve">SL-M (stop-loss market) orders have not been supported for options since 27 Sep 2021.</t>
  </si>
  <si>
    <t xml:space="preserve">An option stop must be an SL-L order with a trigger price and a limit price.</t>
  </si>
  <si>
    <t xml:space="preserve">Multiple sources</t>
  </si>
  <si>
    <t xml:space="preserve">S9, S10, S11</t>
  </si>
  <si>
    <t xml:space="preserve">NSE &amp; MCX options</t>
  </si>
  <si>
    <t xml:space="preserve">SL-L = trigger price + limit price. Triggering releases a limit order into the order book.</t>
  </si>
  <si>
    <t xml:space="preserve">Your exit is only as good as the limit you attach.</t>
  </si>
  <si>
    <t xml:space="preserve">S9, S11</t>
  </si>
  <si>
    <t xml:space="preserve">Order entry</t>
  </si>
  <si>
    <t xml:space="preserve">Buy SL: trigger must be at or below limit. Sell SL: trigger must be at or above limit. Otherwise the order is rejected or sits pending.</t>
  </si>
  <si>
    <t xml:space="preserve">Common cause of 'trigger price' errors in algos and manual entry.</t>
  </si>
  <si>
    <t xml:space="preserve">Single source (Zerodha)</t>
  </si>
  <si>
    <t xml:space="preserve">S13</t>
  </si>
  <si>
    <t xml:space="preserve">Gap risk</t>
  </si>
  <si>
    <t xml:space="preserve">If price jumps past the limit before the stop triggers, an SL-L stays open and losses can keep growing.</t>
  </si>
  <si>
    <t xml:space="preserve">The main weakness of SL-L stops.</t>
  </si>
  <si>
    <t xml:space="preserve">S9</t>
  </si>
  <si>
    <t xml:space="preserve">Workaround</t>
  </si>
  <si>
    <t xml:space="preserve">Set the limit well beyond the trigger (higher for a buy, lower for a sell) so the order behaves like a market order.</t>
  </si>
  <si>
    <t xml:space="preserve">Trades fill risk for worse fills; the limit also guards against freak trades.</t>
  </si>
  <si>
    <t xml:space="preserve">S10</t>
  </si>
  <si>
    <t xml:space="preserve">Validation</t>
  </si>
  <si>
    <t xml:space="preserve">NSE validates the allowed gap between trigger and limit, separately from Limit Price Protection (LPP).</t>
  </si>
  <si>
    <t xml:space="preserve">A very wide trigger-limit buffer can be rejected.</t>
  </si>
  <si>
    <t xml:space="preserve">Single source (AlgoTest)</t>
  </si>
  <si>
    <t xml:space="preserve">S11</t>
  </si>
  <si>
    <t xml:space="preserve">Session</t>
  </si>
  <si>
    <t xml:space="preserve">SL and SL-M orders are not accepted in the 9:00-9:07 pre-market call auction (only market and limit).</t>
  </si>
  <si>
    <t xml:space="preserve">You cannot manage overnight gap risk with a stop at the open.</t>
  </si>
  <si>
    <t xml:space="preserve">S12</t>
  </si>
  <si>
    <t xml:space="preserve">Contract</t>
  </si>
  <si>
    <t xml:space="preserve">MCX options</t>
  </si>
  <si>
    <t xml:space="preserve">MCX options are options on futures (not spot) and are European-style (exercise only at expiry).</t>
  </si>
  <si>
    <t xml:space="preserve">Track the option premium or the underlying futures, not spot.</t>
  </si>
  <si>
    <t xml:space="preserve">S7, S15</t>
  </si>
  <si>
    <t xml:space="preserve">MCX options (Zerodha)</t>
  </si>
  <si>
    <t xml:space="preserve">Market orders are blocked; only limit and SL orders are allowed.</t>
  </si>
  <si>
    <t xml:space="preserve">Stops and exits must carry limit prices.</t>
  </si>
  <si>
    <t xml:space="preserve">Broker-specific</t>
  </si>
  <si>
    <t xml:space="preserve">Product</t>
  </si>
  <si>
    <t xml:space="preserve">Intraday MIS is allowed only for energy options (crude oil, crude mini, natural gas, NG mini); blocked for other commodity options. Some contracts are blocked for illiquidity.</t>
  </si>
  <si>
    <t xml:space="preserve">Limits which MCX options you can run intraday strategies on.</t>
  </si>
  <si>
    <t xml:space="preserve">Expiry</t>
  </si>
  <si>
    <t xml:space="preserve">Gold options are monthly and expire 7 trading days before the underlying futures expiry.</t>
  </si>
  <si>
    <t xml:space="preserve">Exit logic must key off the option's own expiry date.</t>
  </si>
  <si>
    <t xml:space="preserve">S8</t>
  </si>
  <si>
    <t xml:space="preserve">Crude oil options expire 2 trading days before the underlying futures expiry.</t>
  </si>
  <si>
    <t xml:space="preserve">Same: use the option expiry, not the futures expiry.</t>
  </si>
  <si>
    <t xml:space="preserve">NSE index options</t>
  </si>
  <si>
    <t xml:space="preserve">Nifty keeps a weekly expiry (Tuesday); BankNifty is monthly only (last Tuesday). BankNifty weeklies ended after 13 Nov 2024.</t>
  </si>
  <si>
    <t xml:space="preserve">Decay and gamma behaviour differ a lot, so one stop rule will not fit both.</t>
  </si>
  <si>
    <t xml:space="preserve">Mostly multiple; Nifty weekday single-source</t>
  </si>
  <si>
    <t xml:space="preserve">S2, S3, S4</t>
  </si>
  <si>
    <t xml:space="preserve">Sizing</t>
  </si>
  <si>
    <t xml:space="preserve">Lot sizes change periodically (Nifty 75 to 65, BankNifty 35 to 30 from Jan 2026).</t>
  </si>
  <si>
    <t xml:space="preserve">Recompute rupee risk per lot; old strategy code may hold stale lot sizes.</t>
  </si>
  <si>
    <t xml:space="preserve">S1, S2</t>
  </si>
  <si>
    <t xml:space="preserve">Backtesting</t>
  </si>
  <si>
    <t xml:space="preserve">General</t>
  </si>
  <si>
    <t xml:space="preserve">Assume fills worse than the trigger, especially in MCX and expiry-day trades.</t>
  </si>
  <si>
    <t xml:space="preserve">Fills at the trigger price flatter backtest results.</t>
  </si>
  <si>
    <t xml:space="preserve">General practice (not sourced)</t>
  </si>
  <si>
    <t xml:space="preserve">Stop-loss methods</t>
  </si>
  <si>
    <t xml:space="preserve">Commonly used approaches summarised from the research bullets (general practice, not sourced from a single reference). Put the parameters you use in the yellow column, e.g. a percentage or a multiple.</t>
  </si>
  <si>
    <t xml:space="preserve">Method</t>
  </si>
  <si>
    <t xml:space="preserve">Used for</t>
  </si>
  <si>
    <t xml:space="preserve">How it works</t>
  </si>
  <si>
    <t xml:space="preserve">Strength</t>
  </si>
  <si>
    <t xml:space="preserve">Weakness</t>
  </si>
  <si>
    <t xml:space="preserve">Parameter to set</t>
  </si>
  <si>
    <t xml:space="preserve">Your setting (edit)</t>
  </si>
  <si>
    <t xml:space="preserve">Premium-% stop</t>
  </si>
  <si>
    <t xml:space="preserve">Long options</t>
  </si>
  <si>
    <t xml:space="preserve">Exit after a fixed percentage loss of the premium paid.</t>
  </si>
  <si>
    <t xml:space="preserve">Simple and consistent.</t>
  </si>
  <si>
    <t xml:space="preserve">Ignores volatility and time to expiry.</t>
  </si>
  <si>
    <t xml:space="preserve">% of entry premium</t>
  </si>
  <si>
    <t xml:space="preserve">Underlying-level stop</t>
  </si>
  <si>
    <t xml:space="preserve">Long or short</t>
  </si>
  <si>
    <t xml:space="preserve">Exit when the index or futures breaks a chart level; convert that level to an option price using delta.</t>
  </si>
  <si>
    <t xml:space="preserve">Tied to your actual thesis.</t>
  </si>
  <si>
    <t xml:space="preserve">Delta conversion is approximate and changes as price moves.</t>
  </si>
  <si>
    <t xml:space="preserve">Underlying level; delta used</t>
  </si>
  <si>
    <t xml:space="preserve">Volatility (ATR) stop</t>
  </si>
  <si>
    <t xml:space="preserve">Size the stop distance from ATR or recent range of the underlying.</t>
  </si>
  <si>
    <t xml:space="preserve">Adapts to quiet and volatile days.</t>
  </si>
  <si>
    <t xml:space="preserve">Needs a lookback and multiple that suit the instrument.</t>
  </si>
  <si>
    <t xml:space="preserve">ATR lookback; ATR multiple</t>
  </si>
  <si>
    <t xml:space="preserve">Time stop</t>
  </si>
  <si>
    <t xml:space="preserve">Long options, esp. expiry week</t>
  </si>
  <si>
    <t xml:space="preserve">Exit if the expected move has not happened within a set window.</t>
  </si>
  <si>
    <t xml:space="preserve">Limits theta bleed.</t>
  </si>
  <si>
    <t xml:space="preserve">Can exit just before the move.</t>
  </si>
  <si>
    <t xml:space="preserve">Time window (minutes or bars)</t>
  </si>
  <si>
    <t xml:space="preserve">Premium-multiple stop</t>
  </si>
  <si>
    <t xml:space="preserve">Short options</t>
  </si>
  <si>
    <t xml:space="preserve">Exit if the option premium reaches a multiple of the premium collected.</t>
  </si>
  <si>
    <t xml:space="preserve">Defined in rupees; easy to automate.</t>
  </si>
  <si>
    <t xml:space="preserve">Spikes and gaps can hit it; SL-L fill risk applies.</t>
  </si>
  <si>
    <t xml:space="preserve">Multiple of premium collected</t>
  </si>
  <si>
    <t xml:space="preserve">Underlying / delta threshold</t>
  </si>
  <si>
    <t xml:space="preserve">Exit if the underlying breaches a level or the short strike's delta rises past a threshold.</t>
  </si>
  <si>
    <t xml:space="preserve">Reacts to risk, not just price of the option.</t>
  </si>
  <si>
    <t xml:space="preserve">Needs live Greeks and a clear threshold.</t>
  </si>
  <si>
    <t xml:space="preserve">Underlying level or delta threshold</t>
  </si>
  <si>
    <t xml:space="preserve">Defined-risk hedge</t>
  </si>
  <si>
    <t xml:space="preserve">Use a spread or a protective far-OTM leg so loss is capped even if a stop fails to fill.</t>
  </si>
  <si>
    <t xml:space="preserve">Caps loss; often lowers margin.</t>
  </si>
  <si>
    <t xml:space="preserve">Costs hedge premium and reduces net credit.</t>
  </si>
  <si>
    <t xml:space="preserve">Hedge strike distance</t>
  </si>
  <si>
    <t xml:space="preserve">SL-L limit buffer</t>
  </si>
  <si>
    <t xml:space="preserve">Execution (NSE &amp; MCX)</t>
  </si>
  <si>
    <t xml:space="preserve">Distance between trigger and limit price on the SL-L order.</t>
  </si>
  <si>
    <t xml:space="preserve">Wider buffer improves chance of a fill.</t>
  </si>
  <si>
    <t xml:space="preserve">Wider buffer means worse fills; NSE validates the gap.</t>
  </si>
  <si>
    <t xml:space="preserve">Buffer in Rs per unit</t>
  </si>
  <si>
    <t xml:space="preserve">Event-risk rule</t>
  </si>
  <si>
    <t xml:space="preserve">MCX energy and metals</t>
  </si>
  <si>
    <t xml:space="preserve">Avoid holding, or size down, through scheduled events (US crude inventory, Fed and US data releases).</t>
  </si>
  <si>
    <t xml:space="preserve">Avoids event gaps.</t>
  </si>
  <si>
    <t xml:space="preserve">May miss large moves.</t>
  </si>
  <si>
    <t xml:space="preserve">Event list; size cut %</t>
  </si>
  <si>
    <t xml:space="preserve">Sources used (accessed 23 Oct 2026)</t>
  </si>
  <si>
    <t xml:space="preserve">ID</t>
  </si>
  <si>
    <t xml:space="preserve">Source</t>
  </si>
  <si>
    <t xml:space="preserve">URL</t>
  </si>
  <si>
    <t xml:space="preserve">S1</t>
  </si>
  <si>
    <t xml:space="preserve">Sahi: Nifty lot size 2026</t>
  </si>
  <si>
    <t xml:space="preserve">https://www.sahi.com/blogs/nifty-lot-size-2026-bank-nifty-sensex</t>
  </si>
  <si>
    <t xml:space="preserve">Nifty 65, BankNifty 30 lot sizes from Jan 2026</t>
  </si>
  <si>
    <t xml:space="preserve">S2</t>
  </si>
  <si>
    <t xml:space="preserve">AlgoTest: Bank Nifty lot size 2026 (data as of 29 Sep 2026)</t>
  </si>
  <si>
    <t xml:space="preserve">https://algotest.in/blog/bank-nifty-lot-size-2026-current-quantity-and-one-lot-cost/</t>
  </si>
  <si>
    <t xml:space="preserve">BankNifty lot 30; weeklies ended 13 Nov 2024</t>
  </si>
  <si>
    <t xml:space="preserve">S3</t>
  </si>
  <si>
    <t xml:space="preserve">OneTradeJournal: How to trade Bank Nifty options</t>
  </si>
  <si>
    <t xml:space="preserve">https://onetradejournal.com/learn/how-to-trade-bank-nifty-options</t>
  </si>
  <si>
    <t xml:space="preserve">Weekly expiry rationalisation; Nifty Tuesday weekly; BankNifty monthly only</t>
  </si>
  <si>
    <t xml:space="preserve">S4</t>
  </si>
  <si>
    <t xml:space="preserve">NSE: BankNifty products page</t>
  </si>
  <si>
    <t xml:space="preserve">https://www.nseindia.com/products-services/equity-derivatives-banknifty</t>
  </si>
  <si>
    <t xml:space="preserve">BankNifty expiry on last Tuesday</t>
  </si>
  <si>
    <t xml:space="preserve">S5</t>
  </si>
  <si>
    <t xml:space="preserve">NSE: BankNifty weekly options spec page (snippet looks outdated)</t>
  </si>
  <si>
    <t xml:space="preserve">https://www.nseindia.com/products-services/equity-derivatives-bank-nifty-option-contract-specification-weekly</t>
  </si>
  <si>
    <t xml:space="preserve">Conflicting data (40 units, Thursday); verify</t>
  </si>
  <si>
    <t xml:space="preserve">Zerodha Support: commodity options on Kite</t>
  </si>
  <si>
    <t xml:space="preserve">https://support.zerodha.com/category/trading-and-markets/trading-faqs/general/articles/how-can-i-trade-commodity-options-in-zerodha</t>
  </si>
  <si>
    <t xml:space="preserve">MCX lot sizes; market orders blocked; MIS only for energy options</t>
  </si>
  <si>
    <t xml:space="preserve">S7</t>
  </si>
  <si>
    <t xml:space="preserve">INDmoney: MCX commodity options</t>
  </si>
  <si>
    <t xml:space="preserve">https://www.indmoney.com/commodities/options</t>
  </si>
  <si>
    <t xml:space="preserve">MCX option list; European-style; lot sizes (conflicts on copper/zinc)</t>
  </si>
  <si>
    <t xml:space="preserve">Zerodha Z-Connect: MCX info widget</t>
  </si>
  <si>
    <t xml:space="preserve">https://zerodha.com/z-connect/business-updates/introducing-the-mcx-info-widget-on-kite-web</t>
  </si>
  <si>
    <t xml:space="preserve">Gold and crude option expiry timing</t>
  </si>
  <si>
    <t xml:space="preserve">Zerodha Support: stop loss orders</t>
  </si>
  <si>
    <t xml:space="preserve">https://support.zerodha.com/category/trading-and-markets/charts-and-orders/order/articles/what-are-stop-loss-orders-and-how-to-use-them</t>
  </si>
  <si>
    <t xml:space="preserve">SL vs SL-M; SL-M not supported for NSE options; gap risk</t>
  </si>
  <si>
    <t xml:space="preserve">Zerodha Support: using SL-L like SL-M</t>
  </si>
  <si>
    <t xml:space="preserve">https://support.zerodha.com/category/trading-and-markets/charts-and-orders/order/articles/how-to-use-sl-l-order-like-a-sl-m-order</t>
  </si>
  <si>
    <t xml:space="preserve">SL-L workaround; SL-M stopped 27 Sep 2021</t>
  </si>
  <si>
    <t xml:space="preserve">AlgoTest: trigger price</t>
  </si>
  <si>
    <t xml:space="preserve">https://algotest.in/blog/trigger-price/</t>
  </si>
  <si>
    <t xml:space="preserve">Trigger-limit gap validation; LPP</t>
  </si>
  <si>
    <t xml:space="preserve">Zerodha Support: SL orders in call auction</t>
  </si>
  <si>
    <t xml:space="preserve">https://support.zerodha.com/category/trading-and-markets/margin-leverage-and-product-and-order-types/articles/what-does-the-order-rejection-error-stop-loss-orders-not-allowed-in-call-auction-mean</t>
  </si>
  <si>
    <t xml:space="preserve">No SL orders in 9:00-9:07 pre-market</t>
  </si>
  <si>
    <t xml:space="preserve">Zerodha Support: trigger vs limit price error</t>
  </si>
  <si>
    <t xml:space="preserve">https://support.zerodha.com/category/trading-and-markets/alerts-and-nudges/kite-error-messages/articles/im-trying-to-place-a-stop-loss-order-but-im-getting-the-error-limit-price-is-worse-than-the-trigger</t>
  </si>
  <si>
    <t xml:space="preserve">Buy/sell trigger-limit relationship</t>
  </si>
  <si>
    <t xml:space="preserve">S15</t>
  </si>
  <si>
    <t xml:space="preserve">Flattrade: commodity options glossary</t>
  </si>
  <si>
    <t xml:space="preserve">https://flattrade.in/learn/glossary/commodity-options/</t>
  </si>
  <si>
    <t xml:space="preserve">MCX options are on futures; European-style</t>
  </si>
  <si>
    <t xml:space="preserve">Position-size calculator from a stop-loss</t>
  </si>
  <si>
    <t xml:space="preserve">Edit the yellow cells. Example values are placeholders showing the format.</t>
  </si>
  <si>
    <t xml:space="preserve">INPUTS</t>
  </si>
  <si>
    <t xml:space="preserve">Capital (Rs)</t>
  </si>
  <si>
    <t xml:space="preserve">Your trading capital.</t>
  </si>
  <si>
    <t xml:space="preserve">Max risk per trade (% of capital)</t>
  </si>
  <si>
    <t xml:space="preserve">Stored as a fraction (0.01 = 1.0%).</t>
  </si>
  <si>
    <t xml:space="preserve">Drop-down from Contract Specs; lot size and multiplier are looked up.</t>
  </si>
  <si>
    <t xml:space="preserve">Position side</t>
  </si>
  <si>
    <t xml:space="preserve">Long (buy option)</t>
  </si>
  <si>
    <t xml:space="preserve">Long = you bought the option; Short = you sold it.</t>
  </si>
  <si>
    <t xml:space="preserve">Entry premium (Rs per quote unit)</t>
  </si>
  <si>
    <t xml:space="preserve">Premium at which you entered.</t>
  </si>
  <si>
    <t xml:space="preserve">Stop trigger premium (Rs)</t>
  </si>
  <si>
    <t xml:space="preserve">Long: below entry. Short: above entry.</t>
  </si>
  <si>
    <t xml:space="preserve">SL-L limit buffer beyond trigger (Rs)</t>
  </si>
  <si>
    <t xml:space="preserve">Gap between trigger and limit on the SL-L order. Worst case assumes a fill at the limit.</t>
  </si>
  <si>
    <t xml:space="preserve">OUTPUTS</t>
  </si>
  <si>
    <t xml:space="preserve">Lot size (from Contract Specs)</t>
  </si>
  <si>
    <t xml:space="preserve">Looked up by instrument name.</t>
  </si>
  <si>
    <t xml:space="preserve">Price multiplier (Rs per Rs 1 premium move, per lot)</t>
  </si>
  <si>
    <t xml:space="preserve">MCX values are assumptions; confirm with your broker.</t>
  </si>
  <si>
    <t xml:space="preserve">Input check</t>
  </si>
  <si>
    <t xml:space="preserve">Must read OK before the sizing below is meaningful.</t>
  </si>
  <si>
    <t xml:space="preserve">Stop distance per unit (Rs)</t>
  </si>
  <si>
    <t xml:space="preserve">Entry to trigger.</t>
  </si>
  <si>
    <t xml:space="preserve">Loss per lot if filled at trigger (Rs)</t>
  </si>
  <si>
    <t xml:space="preserve">Best-case stop fill.</t>
  </si>
  <si>
    <t xml:space="preserve">Worst-case loss per lot if filled at limit (Rs)</t>
  </si>
  <si>
    <t xml:space="preserve">Includes the SL-L limit buffer; used for sizing.</t>
  </si>
  <si>
    <t xml:space="preserve">Max risk allowed (Rs)</t>
  </si>
  <si>
    <t xml:space="preserve">Capital x max risk %.</t>
  </si>
  <si>
    <t xml:space="preserve">Lots allowed</t>
  </si>
  <si>
    <t xml:space="preserve">Rounded down so risk never exceeds the cap.</t>
  </si>
  <si>
    <t xml:space="preserve">Loss if filled at trigger, all lots (Rs)</t>
  </si>
  <si>
    <t xml:space="preserve">Worst-case loss, all lots (Rs)</t>
  </si>
  <si>
    <t xml:space="preserve">Worst-case loss as % of capital</t>
  </si>
  <si>
    <t xml:space="preserve">Premium outlay for those lots (Rs)</t>
  </si>
  <si>
    <t xml:space="preserve">Long options only.</t>
  </si>
  <si>
    <t xml:space="preserve">PREMIUM-% STOP LADDER (long options only; uses the inputs above)</t>
  </si>
  <si>
    <t xml:space="preserve">Stop as % loss of entry premium</t>
  </si>
  <si>
    <t xml:space="preserve">Trigger premium (Rs)</t>
  </si>
  <si>
    <t xml:space="preserve">Worst-case loss per lot (Rs)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</si>
</sst>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#,##0.00"/>
    <numFmt numFmtId="168" formatCode="0"/>
    <numFmt numFmtId="169" formatCode="0.00%"/>
    <numFmt numFmtId="170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ractSpecs" displayName="ContractSpecs" ref="A4:J16" headerRowCount="1" totalsRowCount="0" totalsRowShown="0">
  <autoFilter ref="A4:J16"/>
  <tableColumns count="10">
    <tableColumn id="1" name="Exchange"/>
    <tableColumn id="2" name="Instrument"/>
    <tableColumn id="3" name="Underlying"/>
    <tableColumn id="4" name="Lot size"/>
    <tableColumn id="5" name="Lot unit"/>
    <tableColumn id="6" name="Premium quote unit (assumed)"/>
    <tableColumn id="7" name="Rs per Rs 1 premium move, per lot"/>
    <tableColumn id="8" name="Expiry pattern"/>
    <tableColumn id="9" name="Notes"/>
    <tableColumn id="10" name="Source IDs"/>
  </tableColumns>
</table>
</file>

<file path=xl/tables/table2.xml><?xml version="1.0" encoding="utf-8"?>
<table xmlns="http://schemas.openxmlformats.org/spreadsheetml/2006/main" id="2" name="OrderRules" displayName="OrderRules" ref="A4:G19" headerRowCount="1" totalsRowCount="0" totalsRowShown="0">
  <autoFilter ref="A4:G19"/>
  <tableColumns count="7">
    <tableColumn id="1" name="#"/>
    <tableColumn id="2" name="Area"/>
    <tableColumn id="3" name="Applies to"/>
    <tableColumn id="4" name="Rule"/>
    <tableColumn id="5" name="Why it matters for stops"/>
    <tableColumn id="6" name="Confidence"/>
    <tableColumn id="7" name="Source IDs"/>
  </tableColumns>
</table>
</file>

<file path=xl/tables/table3.xml><?xml version="1.0" encoding="utf-8"?>
<table xmlns="http://schemas.openxmlformats.org/spreadsheetml/2006/main" id="3" name="SLMethods" displayName="SLMethods" ref="A4:G13" headerRowCount="1" totalsRowCount="0" totalsRowShown="0">
  <autoFilter ref="A4:G13"/>
  <tableColumns count="7">
    <tableColumn id="1" name="Method"/>
    <tableColumn id="2" name="Used for"/>
    <tableColumn id="3" name="How it works"/>
    <tableColumn id="4" name="Strength"/>
    <tableColumn id="5" name="Weakness"/>
    <tableColumn id="6" name="Parameter to set"/>
    <tableColumn id="7" name="Your setting (edit)"/>
  </tableColumns>
</table>
</file>

<file path=xl/tables/table4.xml><?xml version="1.0" encoding="utf-8"?>
<table xmlns="http://schemas.openxmlformats.org/spreadsheetml/2006/main" id="4" name="Sources" displayName="Sources" ref="A3:D17" headerRowCount="1" totalsRowCount="0" totalsRowShown="0">
  <autoFilter ref="A3:D17"/>
  <tableColumns count="4">
    <tableColumn id="1" name="ID"/>
    <tableColumn id="2" name="Source"/>
    <tableColumn id="3" name="URL"/>
    <tableColumn id="4" name="Used fo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23.85" hidden="false" customHeight="false" outlineLevel="0" collapsed="false">
      <c r="A13" s="2" t="s">
        <v>9</v>
      </c>
    </row>
    <row r="14" customFormat="false" ht="35.0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23.8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40"/>
    <col collapsed="false" customWidth="true" hidden="false" outlineLevel="0" max="9" min="9" style="0" width="70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4" t="s">
        <v>18</v>
      </c>
    </row>
    <row r="2" customFormat="false" ht="15" hidden="false" customHeight="false" outlineLevel="0" collapsed="false">
      <c r="A2" s="5" t="s">
        <v>19</v>
      </c>
    </row>
    <row r="4" customFormat="false" ht="42" hidden="false" customHeight="true" outlineLevel="0" collapsed="false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32</v>
      </c>
      <c r="D5" s="7" t="n">
        <v>65</v>
      </c>
      <c r="E5" s="2" t="s">
        <v>33</v>
      </c>
      <c r="F5" s="2" t="s">
        <v>34</v>
      </c>
      <c r="G5" s="8" t="n">
        <f aca="false">D5</f>
        <v>65</v>
      </c>
      <c r="H5" s="2" t="s">
        <v>35</v>
      </c>
      <c r="I5" s="2" t="s">
        <v>36</v>
      </c>
      <c r="J5" s="2" t="s">
        <v>37</v>
      </c>
    </row>
    <row r="6" customFormat="false" ht="23.85" hidden="false" customHeight="false" outlineLevel="0" collapsed="false">
      <c r="A6" s="2" t="s">
        <v>30</v>
      </c>
      <c r="B6" s="2" t="s">
        <v>38</v>
      </c>
      <c r="C6" s="2" t="s">
        <v>39</v>
      </c>
      <c r="D6" s="7" t="n">
        <v>30</v>
      </c>
      <c r="E6" s="2" t="s">
        <v>33</v>
      </c>
      <c r="F6" s="2" t="s">
        <v>34</v>
      </c>
      <c r="G6" s="8" t="n">
        <f aca="false">D6</f>
        <v>30</v>
      </c>
      <c r="H6" s="2" t="s">
        <v>40</v>
      </c>
      <c r="I6" s="2" t="s">
        <v>41</v>
      </c>
      <c r="J6" s="2" t="s">
        <v>42</v>
      </c>
    </row>
    <row r="7" customFormat="false" ht="23.85" hidden="false" customHeight="false" outlineLevel="0" collapsed="false">
      <c r="A7" s="2" t="s">
        <v>43</v>
      </c>
      <c r="B7" s="2" t="s">
        <v>44</v>
      </c>
      <c r="C7" s="2" t="s">
        <v>45</v>
      </c>
      <c r="D7" s="7" t="n">
        <v>1</v>
      </c>
      <c r="E7" s="2" t="s">
        <v>46</v>
      </c>
      <c r="F7" s="2" t="s">
        <v>47</v>
      </c>
      <c r="G7" s="7" t="n">
        <v>100</v>
      </c>
      <c r="H7" s="2" t="s">
        <v>48</v>
      </c>
      <c r="I7" s="2" t="s">
        <v>49</v>
      </c>
      <c r="J7" s="2" t="s">
        <v>50</v>
      </c>
    </row>
    <row r="8" customFormat="false" ht="23.85" hidden="false" customHeight="false" outlineLevel="0" collapsed="false">
      <c r="A8" s="2" t="s">
        <v>43</v>
      </c>
      <c r="B8" s="2" t="s">
        <v>51</v>
      </c>
      <c r="C8" s="2" t="s">
        <v>52</v>
      </c>
      <c r="D8" s="7" t="n">
        <v>100</v>
      </c>
      <c r="E8" s="2" t="s">
        <v>53</v>
      </c>
      <c r="F8" s="2" t="s">
        <v>47</v>
      </c>
      <c r="G8" s="7" t="n">
        <v>10</v>
      </c>
      <c r="H8" s="2" t="s">
        <v>54</v>
      </c>
      <c r="I8" s="2" t="s">
        <v>49</v>
      </c>
      <c r="J8" s="2" t="s">
        <v>55</v>
      </c>
    </row>
    <row r="9" customFormat="false" ht="23.85" hidden="false" customHeight="false" outlineLevel="0" collapsed="false">
      <c r="A9" s="2" t="s">
        <v>43</v>
      </c>
      <c r="B9" s="2" t="s">
        <v>56</v>
      </c>
      <c r="C9" s="2" t="s">
        <v>57</v>
      </c>
      <c r="D9" s="7" t="n">
        <v>30</v>
      </c>
      <c r="E9" s="2" t="s">
        <v>46</v>
      </c>
      <c r="F9" s="2" t="s">
        <v>58</v>
      </c>
      <c r="G9" s="7" t="n">
        <v>30</v>
      </c>
      <c r="H9" s="2" t="s">
        <v>54</v>
      </c>
      <c r="I9" s="2" t="s">
        <v>49</v>
      </c>
      <c r="J9" s="2" t="s">
        <v>55</v>
      </c>
    </row>
    <row r="10" customFormat="false" ht="23.85" hidden="false" customHeight="false" outlineLevel="0" collapsed="false">
      <c r="A10" s="2" t="s">
        <v>43</v>
      </c>
      <c r="B10" s="2" t="s">
        <v>59</v>
      </c>
      <c r="C10" s="2" t="s">
        <v>60</v>
      </c>
      <c r="D10" s="7" t="n">
        <v>5</v>
      </c>
      <c r="E10" s="2" t="s">
        <v>46</v>
      </c>
      <c r="F10" s="2" t="s">
        <v>58</v>
      </c>
      <c r="G10" s="7" t="n">
        <v>5</v>
      </c>
      <c r="H10" s="2" t="s">
        <v>54</v>
      </c>
      <c r="I10" s="2" t="s">
        <v>49</v>
      </c>
      <c r="J10" s="2" t="s">
        <v>61</v>
      </c>
    </row>
    <row r="11" customFormat="false" ht="35.05" hidden="false" customHeight="false" outlineLevel="0" collapsed="false">
      <c r="A11" s="2" t="s">
        <v>43</v>
      </c>
      <c r="B11" s="2" t="s">
        <v>62</v>
      </c>
      <c r="C11" s="2" t="s">
        <v>63</v>
      </c>
      <c r="D11" s="7" t="n">
        <v>100</v>
      </c>
      <c r="E11" s="2" t="s">
        <v>64</v>
      </c>
      <c r="F11" s="2" t="s">
        <v>65</v>
      </c>
      <c r="G11" s="7" t="n">
        <v>100</v>
      </c>
      <c r="H11" s="2" t="s">
        <v>66</v>
      </c>
      <c r="I11" s="2" t="s">
        <v>49</v>
      </c>
      <c r="J11" s="2" t="s">
        <v>50</v>
      </c>
    </row>
    <row r="12" customFormat="false" ht="23.85" hidden="false" customHeight="false" outlineLevel="0" collapsed="false">
      <c r="A12" s="2" t="s">
        <v>43</v>
      </c>
      <c r="B12" s="2" t="s">
        <v>67</v>
      </c>
      <c r="C12" s="2" t="s">
        <v>68</v>
      </c>
      <c r="D12" s="7" t="n">
        <v>10</v>
      </c>
      <c r="E12" s="2" t="s">
        <v>64</v>
      </c>
      <c r="F12" s="2" t="s">
        <v>65</v>
      </c>
      <c r="G12" s="7" t="n">
        <v>10</v>
      </c>
      <c r="H12" s="2" t="s">
        <v>54</v>
      </c>
      <c r="I12" s="2" t="s">
        <v>49</v>
      </c>
      <c r="J12" s="2" t="s">
        <v>55</v>
      </c>
    </row>
    <row r="13" customFormat="false" ht="23.85" hidden="false" customHeight="false" outlineLevel="0" collapsed="false">
      <c r="A13" s="2" t="s">
        <v>43</v>
      </c>
      <c r="B13" s="2" t="s">
        <v>69</v>
      </c>
      <c r="C13" s="2" t="s">
        <v>70</v>
      </c>
      <c r="D13" s="7" t="n">
        <v>1250</v>
      </c>
      <c r="E13" s="2" t="s">
        <v>71</v>
      </c>
      <c r="F13" s="2" t="s">
        <v>72</v>
      </c>
      <c r="G13" s="7" t="n">
        <v>1250</v>
      </c>
      <c r="H13" s="2" t="s">
        <v>73</v>
      </c>
      <c r="I13" s="2" t="s">
        <v>49</v>
      </c>
      <c r="J13" s="2" t="s">
        <v>55</v>
      </c>
    </row>
    <row r="14" customFormat="false" ht="23.85" hidden="false" customHeight="false" outlineLevel="0" collapsed="false">
      <c r="A14" s="2" t="s">
        <v>43</v>
      </c>
      <c r="B14" s="2" t="s">
        <v>74</v>
      </c>
      <c r="C14" s="2" t="s">
        <v>75</v>
      </c>
      <c r="D14" s="7" t="n">
        <v>250</v>
      </c>
      <c r="E14" s="2" t="s">
        <v>71</v>
      </c>
      <c r="F14" s="2" t="s">
        <v>72</v>
      </c>
      <c r="G14" s="7" t="n">
        <v>250</v>
      </c>
      <c r="H14" s="2" t="s">
        <v>73</v>
      </c>
      <c r="I14" s="2" t="s">
        <v>49</v>
      </c>
      <c r="J14" s="2" t="s">
        <v>61</v>
      </c>
    </row>
    <row r="15" customFormat="false" ht="23.85" hidden="false" customHeight="false" outlineLevel="0" collapsed="false">
      <c r="A15" s="2" t="s">
        <v>43</v>
      </c>
      <c r="B15" s="2" t="s">
        <v>76</v>
      </c>
      <c r="C15" s="2" t="s">
        <v>77</v>
      </c>
      <c r="D15" s="7" t="n">
        <v>2500</v>
      </c>
      <c r="E15" s="2" t="s">
        <v>46</v>
      </c>
      <c r="F15" s="2" t="s">
        <v>58</v>
      </c>
      <c r="G15" s="7" t="n">
        <v>2500</v>
      </c>
      <c r="H15" s="2" t="s">
        <v>54</v>
      </c>
      <c r="I15" s="2" t="s">
        <v>78</v>
      </c>
      <c r="J15" s="2" t="s">
        <v>55</v>
      </c>
    </row>
    <row r="16" customFormat="false" ht="35.05" hidden="false" customHeight="false" outlineLevel="0" collapsed="false">
      <c r="A16" s="2" t="s">
        <v>43</v>
      </c>
      <c r="B16" s="2" t="s">
        <v>79</v>
      </c>
      <c r="C16" s="2" t="s">
        <v>80</v>
      </c>
      <c r="D16" s="7" t="n">
        <v>5</v>
      </c>
      <c r="E16" s="2" t="s">
        <v>81</v>
      </c>
      <c r="F16" s="2" t="s">
        <v>58</v>
      </c>
      <c r="G16" s="7" t="n">
        <v>5000</v>
      </c>
      <c r="H16" s="2" t="s">
        <v>54</v>
      </c>
      <c r="I16" s="2" t="s">
        <v>82</v>
      </c>
      <c r="J16" s="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52"/>
    <col collapsed="false" customWidth="true" hidden="false" outlineLevel="0" max="6" min="6" style="0" width="26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4" t="s">
        <v>83</v>
      </c>
    </row>
    <row r="2" customFormat="false" ht="15" hidden="false" customHeight="false" outlineLevel="0" collapsed="false">
      <c r="A2" s="5" t="s">
        <v>84</v>
      </c>
    </row>
    <row r="4" customFormat="false" ht="15" hidden="false" customHeight="false" outlineLevel="0" collapsed="false">
      <c r="A4" s="6" t="s">
        <v>85</v>
      </c>
      <c r="B4" s="6" t="s">
        <v>86</v>
      </c>
      <c r="C4" s="6" t="s">
        <v>87</v>
      </c>
      <c r="D4" s="6" t="s">
        <v>88</v>
      </c>
      <c r="E4" s="6" t="s">
        <v>89</v>
      </c>
      <c r="F4" s="6" t="s">
        <v>90</v>
      </c>
      <c r="G4" s="6" t="s">
        <v>29</v>
      </c>
    </row>
    <row r="5" customFormat="false" ht="23.85" hidden="false" customHeight="false" outlineLevel="0" collapsed="false">
      <c r="A5" s="2" t="n">
        <v>1</v>
      </c>
      <c r="B5" s="2" t="s">
        <v>91</v>
      </c>
      <c r="C5" s="2" t="s">
        <v>92</v>
      </c>
      <c r="D5" s="2" t="s">
        <v>93</v>
      </c>
      <c r="E5" s="2" t="s">
        <v>94</v>
      </c>
      <c r="F5" s="2" t="s">
        <v>95</v>
      </c>
      <c r="G5" s="2" t="s">
        <v>96</v>
      </c>
    </row>
    <row r="6" customFormat="false" ht="15" hidden="false" customHeight="false" outlineLevel="0" collapsed="false">
      <c r="A6" s="2" t="n">
        <v>2</v>
      </c>
      <c r="B6" s="2" t="s">
        <v>91</v>
      </c>
      <c r="C6" s="2" t="s">
        <v>97</v>
      </c>
      <c r="D6" s="2" t="s">
        <v>98</v>
      </c>
      <c r="E6" s="2" t="s">
        <v>99</v>
      </c>
      <c r="F6" s="2" t="s">
        <v>95</v>
      </c>
      <c r="G6" s="2" t="s">
        <v>100</v>
      </c>
    </row>
    <row r="7" customFormat="false" ht="23.85" hidden="false" customHeight="false" outlineLevel="0" collapsed="false">
      <c r="A7" s="2" t="n">
        <v>3</v>
      </c>
      <c r="B7" s="2" t="s">
        <v>101</v>
      </c>
      <c r="C7" s="2" t="s">
        <v>92</v>
      </c>
      <c r="D7" s="2" t="s">
        <v>102</v>
      </c>
      <c r="E7" s="2" t="s">
        <v>103</v>
      </c>
      <c r="F7" s="2" t="s">
        <v>104</v>
      </c>
      <c r="G7" s="2" t="s">
        <v>105</v>
      </c>
    </row>
    <row r="8" customFormat="false" ht="23.85" hidden="false" customHeight="false" outlineLevel="0" collapsed="false">
      <c r="A8" s="2" t="n">
        <v>4</v>
      </c>
      <c r="B8" s="2" t="s">
        <v>106</v>
      </c>
      <c r="C8" s="2" t="s">
        <v>97</v>
      </c>
      <c r="D8" s="2" t="s">
        <v>107</v>
      </c>
      <c r="E8" s="2" t="s">
        <v>108</v>
      </c>
      <c r="F8" s="2" t="s">
        <v>104</v>
      </c>
      <c r="G8" s="2" t="s">
        <v>109</v>
      </c>
    </row>
    <row r="9" customFormat="false" ht="23.85" hidden="false" customHeight="false" outlineLevel="0" collapsed="false">
      <c r="A9" s="2" t="n">
        <v>5</v>
      </c>
      <c r="B9" s="2" t="s">
        <v>110</v>
      </c>
      <c r="C9" s="2" t="s">
        <v>92</v>
      </c>
      <c r="D9" s="2" t="s">
        <v>111</v>
      </c>
      <c r="E9" s="2" t="s">
        <v>112</v>
      </c>
      <c r="F9" s="2" t="s">
        <v>104</v>
      </c>
      <c r="G9" s="2" t="s">
        <v>113</v>
      </c>
    </row>
    <row r="10" customFormat="false" ht="23.85" hidden="false" customHeight="false" outlineLevel="0" collapsed="false">
      <c r="A10" s="2" t="n">
        <v>6</v>
      </c>
      <c r="B10" s="2" t="s">
        <v>114</v>
      </c>
      <c r="C10" s="2" t="s">
        <v>92</v>
      </c>
      <c r="D10" s="2" t="s">
        <v>115</v>
      </c>
      <c r="E10" s="2" t="s">
        <v>116</v>
      </c>
      <c r="F10" s="2" t="s">
        <v>117</v>
      </c>
      <c r="G10" s="2" t="s">
        <v>118</v>
      </c>
    </row>
    <row r="11" customFormat="false" ht="23.85" hidden="false" customHeight="false" outlineLevel="0" collapsed="false">
      <c r="A11" s="2" t="n">
        <v>7</v>
      </c>
      <c r="B11" s="2" t="s">
        <v>119</v>
      </c>
      <c r="C11" s="2" t="s">
        <v>30</v>
      </c>
      <c r="D11" s="2" t="s">
        <v>120</v>
      </c>
      <c r="E11" s="2" t="s">
        <v>121</v>
      </c>
      <c r="F11" s="2" t="s">
        <v>104</v>
      </c>
      <c r="G11" s="2" t="s">
        <v>122</v>
      </c>
    </row>
    <row r="12" customFormat="false" ht="23.85" hidden="false" customHeight="false" outlineLevel="0" collapsed="false">
      <c r="A12" s="2" t="n">
        <v>8</v>
      </c>
      <c r="B12" s="2" t="s">
        <v>123</v>
      </c>
      <c r="C12" s="2" t="s">
        <v>124</v>
      </c>
      <c r="D12" s="2" t="s">
        <v>125</v>
      </c>
      <c r="E12" s="2" t="s">
        <v>126</v>
      </c>
      <c r="F12" s="2" t="s">
        <v>95</v>
      </c>
      <c r="G12" s="2" t="s">
        <v>127</v>
      </c>
    </row>
    <row r="13" customFormat="false" ht="15" hidden="false" customHeight="false" outlineLevel="0" collapsed="false">
      <c r="A13" s="2" t="n">
        <v>9</v>
      </c>
      <c r="B13" s="2" t="s">
        <v>91</v>
      </c>
      <c r="C13" s="2" t="s">
        <v>128</v>
      </c>
      <c r="D13" s="2" t="s">
        <v>129</v>
      </c>
      <c r="E13" s="2" t="s">
        <v>130</v>
      </c>
      <c r="F13" s="2" t="s">
        <v>131</v>
      </c>
      <c r="G13" s="2" t="s">
        <v>61</v>
      </c>
    </row>
    <row r="14" customFormat="false" ht="23.85" hidden="false" customHeight="false" outlineLevel="0" collapsed="false">
      <c r="A14" s="2" t="n">
        <v>10</v>
      </c>
      <c r="B14" s="2" t="s">
        <v>132</v>
      </c>
      <c r="C14" s="2" t="s">
        <v>128</v>
      </c>
      <c r="D14" s="2" t="s">
        <v>133</v>
      </c>
      <c r="E14" s="2" t="s">
        <v>134</v>
      </c>
      <c r="F14" s="2" t="s">
        <v>131</v>
      </c>
      <c r="G14" s="2" t="s">
        <v>61</v>
      </c>
    </row>
    <row r="15" customFormat="false" ht="23.85" hidden="false" customHeight="false" outlineLevel="0" collapsed="false">
      <c r="A15" s="2" t="n">
        <v>11</v>
      </c>
      <c r="B15" s="2" t="s">
        <v>135</v>
      </c>
      <c r="C15" s="2" t="s">
        <v>44</v>
      </c>
      <c r="D15" s="2" t="s">
        <v>136</v>
      </c>
      <c r="E15" s="2" t="s">
        <v>137</v>
      </c>
      <c r="F15" s="2" t="s">
        <v>104</v>
      </c>
      <c r="G15" s="2" t="s">
        <v>138</v>
      </c>
    </row>
    <row r="16" customFormat="false" ht="15" hidden="false" customHeight="false" outlineLevel="0" collapsed="false">
      <c r="A16" s="2" t="n">
        <v>12</v>
      </c>
      <c r="B16" s="2" t="s">
        <v>135</v>
      </c>
      <c r="C16" s="2" t="s">
        <v>62</v>
      </c>
      <c r="D16" s="2" t="s">
        <v>139</v>
      </c>
      <c r="E16" s="2" t="s">
        <v>140</v>
      </c>
      <c r="F16" s="2" t="s">
        <v>104</v>
      </c>
      <c r="G16" s="2" t="s">
        <v>138</v>
      </c>
    </row>
    <row r="17" customFormat="false" ht="23.85" hidden="false" customHeight="false" outlineLevel="0" collapsed="false">
      <c r="A17" s="2" t="n">
        <v>13</v>
      </c>
      <c r="B17" s="2" t="s">
        <v>135</v>
      </c>
      <c r="C17" s="2" t="s">
        <v>141</v>
      </c>
      <c r="D17" s="2" t="s">
        <v>142</v>
      </c>
      <c r="E17" s="2" t="s">
        <v>143</v>
      </c>
      <c r="F17" s="2" t="s">
        <v>144</v>
      </c>
      <c r="G17" s="2" t="s">
        <v>145</v>
      </c>
    </row>
    <row r="18" customFormat="false" ht="23.85" hidden="false" customHeight="false" outlineLevel="0" collapsed="false">
      <c r="A18" s="2" t="n">
        <v>14</v>
      </c>
      <c r="B18" s="2" t="s">
        <v>146</v>
      </c>
      <c r="C18" s="2" t="s">
        <v>141</v>
      </c>
      <c r="D18" s="2" t="s">
        <v>147</v>
      </c>
      <c r="E18" s="2" t="s">
        <v>148</v>
      </c>
      <c r="F18" s="2" t="s">
        <v>95</v>
      </c>
      <c r="G18" s="2" t="s">
        <v>149</v>
      </c>
    </row>
    <row r="19" customFormat="false" ht="15" hidden="false" customHeight="false" outlineLevel="0" collapsed="false">
      <c r="A19" s="2" t="n">
        <v>15</v>
      </c>
      <c r="B19" s="2" t="s">
        <v>150</v>
      </c>
      <c r="C19" s="2" t="s">
        <v>151</v>
      </c>
      <c r="D19" s="2" t="s">
        <v>152</v>
      </c>
      <c r="E19" s="2" t="s">
        <v>153</v>
      </c>
      <c r="F19" s="2" t="s">
        <v>154</v>
      </c>
      <c r="G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30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4" t="s">
        <v>155</v>
      </c>
    </row>
    <row r="2" customFormat="false" ht="15" hidden="false" customHeight="false" outlineLevel="0" collapsed="false">
      <c r="A2" s="5" t="s">
        <v>156</v>
      </c>
    </row>
    <row r="4" customFormat="false" ht="15" hidden="false" customHeight="false" outlineLevel="0" collapsed="false">
      <c r="A4" s="6" t="s">
        <v>157</v>
      </c>
      <c r="B4" s="6" t="s">
        <v>158</v>
      </c>
      <c r="C4" s="6" t="s">
        <v>159</v>
      </c>
      <c r="D4" s="6" t="s">
        <v>160</v>
      </c>
      <c r="E4" s="6" t="s">
        <v>161</v>
      </c>
      <c r="F4" s="6" t="s">
        <v>162</v>
      </c>
      <c r="G4" s="6" t="s">
        <v>163</v>
      </c>
    </row>
    <row r="5" customFormat="false" ht="15" hidden="false" customHeight="false" outlineLevel="0" collapsed="false">
      <c r="A5" s="2" t="s">
        <v>164</v>
      </c>
      <c r="B5" s="2" t="s">
        <v>165</v>
      </c>
      <c r="C5" s="2" t="s">
        <v>166</v>
      </c>
      <c r="D5" s="2" t="s">
        <v>167</v>
      </c>
      <c r="E5" s="2" t="s">
        <v>168</v>
      </c>
      <c r="F5" s="2" t="s">
        <v>169</v>
      </c>
      <c r="G5" s="9"/>
    </row>
    <row r="6" customFormat="false" ht="23.85" hidden="false" customHeight="false" outlineLevel="0" collapsed="false">
      <c r="A6" s="2" t="s">
        <v>170</v>
      </c>
      <c r="B6" s="2" t="s">
        <v>171</v>
      </c>
      <c r="C6" s="2" t="s">
        <v>172</v>
      </c>
      <c r="D6" s="2" t="s">
        <v>173</v>
      </c>
      <c r="E6" s="2" t="s">
        <v>174</v>
      </c>
      <c r="F6" s="2" t="s">
        <v>175</v>
      </c>
      <c r="G6" s="9"/>
    </row>
    <row r="7" customFormat="false" ht="23.85" hidden="false" customHeight="false" outlineLevel="0" collapsed="false">
      <c r="A7" s="2" t="s">
        <v>176</v>
      </c>
      <c r="B7" s="2" t="s">
        <v>171</v>
      </c>
      <c r="C7" s="2" t="s">
        <v>177</v>
      </c>
      <c r="D7" s="2" t="s">
        <v>178</v>
      </c>
      <c r="E7" s="2" t="s">
        <v>179</v>
      </c>
      <c r="F7" s="2" t="s">
        <v>180</v>
      </c>
      <c r="G7" s="9"/>
    </row>
    <row r="8" customFormat="false" ht="23.85" hidden="false" customHeight="false" outlineLevel="0" collapsed="false">
      <c r="A8" s="2" t="s">
        <v>181</v>
      </c>
      <c r="B8" s="2" t="s">
        <v>182</v>
      </c>
      <c r="C8" s="2" t="s">
        <v>183</v>
      </c>
      <c r="D8" s="2" t="s">
        <v>184</v>
      </c>
      <c r="E8" s="2" t="s">
        <v>185</v>
      </c>
      <c r="F8" s="2" t="s">
        <v>186</v>
      </c>
      <c r="G8" s="9"/>
    </row>
    <row r="9" customFormat="false" ht="23.85" hidden="false" customHeight="false" outlineLevel="0" collapsed="false">
      <c r="A9" s="2" t="s">
        <v>187</v>
      </c>
      <c r="B9" s="2" t="s">
        <v>188</v>
      </c>
      <c r="C9" s="2" t="s">
        <v>189</v>
      </c>
      <c r="D9" s="2" t="s">
        <v>190</v>
      </c>
      <c r="E9" s="2" t="s">
        <v>191</v>
      </c>
      <c r="F9" s="2" t="s">
        <v>192</v>
      </c>
      <c r="G9" s="9"/>
    </row>
    <row r="10" customFormat="false" ht="23.85" hidden="false" customHeight="false" outlineLevel="0" collapsed="false">
      <c r="A10" s="2" t="s">
        <v>193</v>
      </c>
      <c r="B10" s="2" t="s">
        <v>188</v>
      </c>
      <c r="C10" s="2" t="s">
        <v>194</v>
      </c>
      <c r="D10" s="2" t="s">
        <v>195</v>
      </c>
      <c r="E10" s="2" t="s">
        <v>196</v>
      </c>
      <c r="F10" s="2" t="s">
        <v>197</v>
      </c>
      <c r="G10" s="9"/>
    </row>
    <row r="11" customFormat="false" ht="23.85" hidden="false" customHeight="false" outlineLevel="0" collapsed="false">
      <c r="A11" s="2" t="s">
        <v>198</v>
      </c>
      <c r="B11" s="2" t="s">
        <v>188</v>
      </c>
      <c r="C11" s="2" t="s">
        <v>199</v>
      </c>
      <c r="D11" s="2" t="s">
        <v>200</v>
      </c>
      <c r="E11" s="2" t="s">
        <v>201</v>
      </c>
      <c r="F11" s="2" t="s">
        <v>202</v>
      </c>
      <c r="G11" s="9"/>
    </row>
    <row r="12" customFormat="false" ht="23.85" hidden="false" customHeight="false" outlineLevel="0" collapsed="false">
      <c r="A12" s="2" t="s">
        <v>203</v>
      </c>
      <c r="B12" s="2" t="s">
        <v>204</v>
      </c>
      <c r="C12" s="2" t="s">
        <v>205</v>
      </c>
      <c r="D12" s="2" t="s">
        <v>206</v>
      </c>
      <c r="E12" s="2" t="s">
        <v>207</v>
      </c>
      <c r="F12" s="2" t="s">
        <v>208</v>
      </c>
      <c r="G12" s="9"/>
    </row>
    <row r="13" customFormat="false" ht="23.85" hidden="false" customHeight="false" outlineLevel="0" collapsed="false">
      <c r="A13" s="2" t="s">
        <v>209</v>
      </c>
      <c r="B13" s="2" t="s">
        <v>210</v>
      </c>
      <c r="C13" s="2" t="s">
        <v>211</v>
      </c>
      <c r="D13" s="2" t="s">
        <v>212</v>
      </c>
      <c r="E13" s="2" t="s">
        <v>213</v>
      </c>
      <c r="F13" s="2" t="s">
        <v>214</v>
      </c>
      <c r="G1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4" t="s">
        <v>215</v>
      </c>
    </row>
    <row r="3" customFormat="false" ht="15" hidden="false" customHeight="false" outlineLevel="0" collapsed="false">
      <c r="A3" s="6" t="s">
        <v>216</v>
      </c>
      <c r="B3" s="6" t="s">
        <v>217</v>
      </c>
      <c r="C3" s="6" t="s">
        <v>218</v>
      </c>
      <c r="D3" s="6" t="s">
        <v>158</v>
      </c>
    </row>
    <row r="4" customFormat="false" ht="15" hidden="false" customHeight="false" outlineLevel="0" collapsed="false">
      <c r="A4" s="2" t="s">
        <v>219</v>
      </c>
      <c r="B4" s="2" t="s">
        <v>220</v>
      </c>
      <c r="C4" s="2" t="s">
        <v>221</v>
      </c>
      <c r="D4" s="2" t="s">
        <v>222</v>
      </c>
    </row>
    <row r="5" customFormat="false" ht="15" hidden="false" customHeight="false" outlineLevel="0" collapsed="false">
      <c r="A5" s="2" t="s">
        <v>223</v>
      </c>
      <c r="B5" s="2" t="s">
        <v>224</v>
      </c>
      <c r="C5" s="2" t="s">
        <v>225</v>
      </c>
      <c r="D5" s="2" t="s">
        <v>226</v>
      </c>
    </row>
    <row r="6" customFormat="false" ht="23.85" hidden="false" customHeight="false" outlineLevel="0" collapsed="false">
      <c r="A6" s="2" t="s">
        <v>227</v>
      </c>
      <c r="B6" s="2" t="s">
        <v>228</v>
      </c>
      <c r="C6" s="2" t="s">
        <v>229</v>
      </c>
      <c r="D6" s="2" t="s">
        <v>230</v>
      </c>
    </row>
    <row r="7" customFormat="false" ht="15" hidden="false" customHeight="false" outlineLevel="0" collapsed="false">
      <c r="A7" s="2" t="s">
        <v>231</v>
      </c>
      <c r="B7" s="2" t="s">
        <v>232</v>
      </c>
      <c r="C7" s="2" t="s">
        <v>233</v>
      </c>
      <c r="D7" s="2" t="s">
        <v>234</v>
      </c>
    </row>
    <row r="8" customFormat="false" ht="23.85" hidden="false" customHeight="false" outlineLevel="0" collapsed="false">
      <c r="A8" s="2" t="s">
        <v>235</v>
      </c>
      <c r="B8" s="2" t="s">
        <v>236</v>
      </c>
      <c r="C8" s="2" t="s">
        <v>237</v>
      </c>
      <c r="D8" s="2" t="s">
        <v>238</v>
      </c>
    </row>
    <row r="9" customFormat="false" ht="23.85" hidden="false" customHeight="false" outlineLevel="0" collapsed="false">
      <c r="A9" s="2" t="s">
        <v>61</v>
      </c>
      <c r="B9" s="2" t="s">
        <v>239</v>
      </c>
      <c r="C9" s="2" t="s">
        <v>240</v>
      </c>
      <c r="D9" s="2" t="s">
        <v>241</v>
      </c>
    </row>
    <row r="10" customFormat="false" ht="15" hidden="false" customHeight="false" outlineLevel="0" collapsed="false">
      <c r="A10" s="2" t="s">
        <v>242</v>
      </c>
      <c r="B10" s="2" t="s">
        <v>243</v>
      </c>
      <c r="C10" s="2" t="s">
        <v>244</v>
      </c>
      <c r="D10" s="2" t="s">
        <v>245</v>
      </c>
    </row>
    <row r="11" customFormat="false" ht="15" hidden="false" customHeight="false" outlineLevel="0" collapsed="false">
      <c r="A11" s="2" t="s">
        <v>138</v>
      </c>
      <c r="B11" s="2" t="s">
        <v>246</v>
      </c>
      <c r="C11" s="2" t="s">
        <v>247</v>
      </c>
      <c r="D11" s="2" t="s">
        <v>248</v>
      </c>
    </row>
    <row r="12" customFormat="false" ht="23.85" hidden="false" customHeight="false" outlineLevel="0" collapsed="false">
      <c r="A12" s="2" t="s">
        <v>109</v>
      </c>
      <c r="B12" s="2" t="s">
        <v>249</v>
      </c>
      <c r="C12" s="2" t="s">
        <v>250</v>
      </c>
      <c r="D12" s="2" t="s">
        <v>251</v>
      </c>
    </row>
    <row r="13" customFormat="false" ht="23.85" hidden="false" customHeight="false" outlineLevel="0" collapsed="false">
      <c r="A13" s="2" t="s">
        <v>113</v>
      </c>
      <c r="B13" s="2" t="s">
        <v>252</v>
      </c>
      <c r="C13" s="2" t="s">
        <v>253</v>
      </c>
      <c r="D13" s="2" t="s">
        <v>254</v>
      </c>
    </row>
    <row r="14" customFormat="false" ht="15" hidden="false" customHeight="false" outlineLevel="0" collapsed="false">
      <c r="A14" s="2" t="s">
        <v>118</v>
      </c>
      <c r="B14" s="2" t="s">
        <v>255</v>
      </c>
      <c r="C14" s="2" t="s">
        <v>256</v>
      </c>
      <c r="D14" s="2" t="s">
        <v>257</v>
      </c>
    </row>
    <row r="15" customFormat="false" ht="23.85" hidden="false" customHeight="false" outlineLevel="0" collapsed="false">
      <c r="A15" s="2" t="s">
        <v>122</v>
      </c>
      <c r="B15" s="2" t="s">
        <v>258</v>
      </c>
      <c r="C15" s="2" t="s">
        <v>259</v>
      </c>
      <c r="D15" s="2" t="s">
        <v>260</v>
      </c>
    </row>
    <row r="16" customFormat="false" ht="23.85" hidden="false" customHeight="false" outlineLevel="0" collapsed="false">
      <c r="A16" s="2" t="s">
        <v>105</v>
      </c>
      <c r="B16" s="2" t="s">
        <v>261</v>
      </c>
      <c r="C16" s="2" t="s">
        <v>262</v>
      </c>
      <c r="D16" s="2" t="s">
        <v>263</v>
      </c>
    </row>
    <row r="17" customFormat="false" ht="15" hidden="false" customHeight="false" outlineLevel="0" collapsed="false">
      <c r="A17" s="2" t="s">
        <v>264</v>
      </c>
      <c r="B17" s="2" t="s">
        <v>265</v>
      </c>
      <c r="C17" s="2" t="s">
        <v>266</v>
      </c>
      <c r="D17" s="2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4" t="s">
        <v>268</v>
      </c>
    </row>
    <row r="2" customFormat="false" ht="15" hidden="false" customHeight="false" outlineLevel="0" collapsed="false">
      <c r="A2" s="5" t="s">
        <v>269</v>
      </c>
    </row>
    <row r="3" customFormat="false" ht="15" hidden="false" customHeight="false" outlineLevel="0" collapsed="false">
      <c r="A3" s="10" t="s">
        <v>270</v>
      </c>
    </row>
    <row r="4" customFormat="false" ht="15" hidden="false" customHeight="false" outlineLevel="0" collapsed="false">
      <c r="A4" s="5" t="s">
        <v>271</v>
      </c>
      <c r="B4" s="11" t="n">
        <v>1000000</v>
      </c>
      <c r="C4" s="2" t="s">
        <v>272</v>
      </c>
    </row>
    <row r="5" customFormat="false" ht="15" hidden="false" customHeight="false" outlineLevel="0" collapsed="false">
      <c r="A5" s="5" t="s">
        <v>273</v>
      </c>
      <c r="B5" s="12" t="n">
        <v>0.01</v>
      </c>
      <c r="C5" s="2" t="s">
        <v>274</v>
      </c>
    </row>
    <row r="6" customFormat="false" ht="15" hidden="false" customHeight="false" outlineLevel="0" collapsed="false">
      <c r="A6" s="5" t="s">
        <v>21</v>
      </c>
      <c r="B6" s="13" t="s">
        <v>31</v>
      </c>
      <c r="C6" s="2" t="s">
        <v>275</v>
      </c>
    </row>
    <row r="7" customFormat="false" ht="15" hidden="false" customHeight="false" outlineLevel="0" collapsed="false">
      <c r="A7" s="5" t="s">
        <v>276</v>
      </c>
      <c r="B7" s="13" t="s">
        <v>277</v>
      </c>
      <c r="C7" s="2" t="s">
        <v>278</v>
      </c>
    </row>
    <row r="8" customFormat="false" ht="15" hidden="false" customHeight="false" outlineLevel="0" collapsed="false">
      <c r="A8" s="5" t="s">
        <v>279</v>
      </c>
      <c r="B8" s="14" t="n">
        <v>150</v>
      </c>
      <c r="C8" s="2" t="s">
        <v>280</v>
      </c>
    </row>
    <row r="9" customFormat="false" ht="15" hidden="false" customHeight="false" outlineLevel="0" collapsed="false">
      <c r="A9" s="5" t="s">
        <v>281</v>
      </c>
      <c r="B9" s="14" t="n">
        <v>105</v>
      </c>
      <c r="C9" s="2" t="s">
        <v>282</v>
      </c>
    </row>
    <row r="10" customFormat="false" ht="15" hidden="false" customHeight="false" outlineLevel="0" collapsed="false">
      <c r="A10" s="5" t="s">
        <v>283</v>
      </c>
      <c r="B10" s="14" t="n">
        <v>5</v>
      </c>
      <c r="C10" s="2" t="s">
        <v>284</v>
      </c>
    </row>
    <row r="12" customFormat="false" ht="15" hidden="false" customHeight="false" outlineLevel="0" collapsed="false">
      <c r="A12" s="10" t="s">
        <v>285</v>
      </c>
    </row>
    <row r="13" customFormat="false" ht="15" hidden="false" customHeight="false" outlineLevel="0" collapsed="false">
      <c r="A13" s="5" t="s">
        <v>286</v>
      </c>
      <c r="B13" s="15" t="n">
        <f aca="false">INDEX('Contract Specs'!$D$5:$D$16,MATCH(B6,'Contract Specs'!$B$5:$B$16,0))</f>
        <v>65</v>
      </c>
      <c r="C13" s="5" t="s">
        <v>287</v>
      </c>
    </row>
    <row r="14" customFormat="false" ht="15" hidden="false" customHeight="false" outlineLevel="0" collapsed="false">
      <c r="A14" s="5" t="s">
        <v>288</v>
      </c>
      <c r="B14" s="15" t="n">
        <f aca="false">INDEX('Contract Specs'!$G$5:$G$16,MATCH(B6,'Contract Specs'!$B$5:$B$16,0))</f>
        <v>65</v>
      </c>
      <c r="C14" s="5" t="s">
        <v>289</v>
      </c>
    </row>
    <row r="15" customFormat="false" ht="15" hidden="false" customHeight="false" outlineLevel="0" collapsed="false">
      <c r="A15" s="5" t="s">
        <v>290</v>
      </c>
      <c r="B15" s="16" t="str">
        <f aca="false">IF(LEFT(B7,4)="Long",IF(B9&lt;B8,"OK","Stop must be below entry for a long"),IF(B9&gt;B8,"OK","Stop must be above entry for a short"))</f>
        <v>OK</v>
      </c>
      <c r="C15" s="5" t="s">
        <v>291</v>
      </c>
    </row>
    <row r="16" customFormat="false" ht="15" hidden="false" customHeight="false" outlineLevel="0" collapsed="false">
      <c r="A16" s="5" t="s">
        <v>292</v>
      </c>
      <c r="B16" s="17" t="n">
        <f aca="false">IF(LEFT(B7,4)="Long",B8-B9,B9-B8)</f>
        <v>45</v>
      </c>
      <c r="C16" s="5" t="s">
        <v>293</v>
      </c>
    </row>
    <row r="17" customFormat="false" ht="15" hidden="false" customHeight="false" outlineLevel="0" collapsed="false">
      <c r="A17" s="5" t="s">
        <v>294</v>
      </c>
      <c r="B17" s="15" t="n">
        <f aca="false">B16*B14</f>
        <v>2925</v>
      </c>
      <c r="C17" s="5" t="s">
        <v>295</v>
      </c>
    </row>
    <row r="18" customFormat="false" ht="15" hidden="false" customHeight="false" outlineLevel="0" collapsed="false">
      <c r="A18" s="5" t="s">
        <v>296</v>
      </c>
      <c r="B18" s="15" t="n">
        <f aca="false">(B16+B10)*B14</f>
        <v>3250</v>
      </c>
      <c r="C18" s="5" t="s">
        <v>297</v>
      </c>
    </row>
    <row r="19" customFormat="false" ht="15" hidden="false" customHeight="false" outlineLevel="0" collapsed="false">
      <c r="A19" s="5" t="s">
        <v>298</v>
      </c>
      <c r="B19" s="15" t="n">
        <f aca="false">B4*B5</f>
        <v>10000</v>
      </c>
      <c r="C19" s="5" t="s">
        <v>299</v>
      </c>
    </row>
    <row r="20" customFormat="false" ht="15" hidden="false" customHeight="false" outlineLevel="0" collapsed="false">
      <c r="A20" s="10" t="s">
        <v>300</v>
      </c>
      <c r="B20" s="18" t="n">
        <f aca="false">IF(AND(B15="OK",B18&gt;0),INT(B19/B18),0)</f>
        <v>3</v>
      </c>
      <c r="C20" s="5" t="s">
        <v>301</v>
      </c>
    </row>
    <row r="21" customFormat="false" ht="15" hidden="false" customHeight="false" outlineLevel="0" collapsed="false">
      <c r="A21" s="5" t="s">
        <v>302</v>
      </c>
      <c r="B21" s="15" t="n">
        <f aca="false">B20*B17</f>
        <v>8775</v>
      </c>
      <c r="C21" s="5"/>
    </row>
    <row r="22" customFormat="false" ht="15" hidden="false" customHeight="false" outlineLevel="0" collapsed="false">
      <c r="A22" s="5" t="s">
        <v>303</v>
      </c>
      <c r="B22" s="15" t="n">
        <f aca="false">B20*B18</f>
        <v>9750</v>
      </c>
      <c r="C22" s="5"/>
    </row>
    <row r="23" customFormat="false" ht="15" hidden="false" customHeight="false" outlineLevel="0" collapsed="false">
      <c r="A23" s="5" t="s">
        <v>304</v>
      </c>
      <c r="B23" s="19" t="n">
        <f aca="false">IF(B4&gt;0,B22/B4,0)</f>
        <v>0.00975</v>
      </c>
      <c r="C23" s="5"/>
    </row>
    <row r="24" customFormat="false" ht="15" hidden="false" customHeight="false" outlineLevel="0" collapsed="false">
      <c r="A24" s="5" t="s">
        <v>305</v>
      </c>
      <c r="B24" s="15" t="n">
        <f aca="false">IF(LEFT(B7,4)="Long",B20*B8*B14,"n/a (short: margin set by broker)")</f>
        <v>29250</v>
      </c>
      <c r="C24" s="5" t="s">
        <v>306</v>
      </c>
    </row>
    <row r="26" customFormat="false" ht="15" hidden="false" customHeight="false" outlineLevel="0" collapsed="false">
      <c r="A26" s="10" t="s">
        <v>307</v>
      </c>
    </row>
    <row r="27" customFormat="false" ht="15" hidden="false" customHeight="false" outlineLevel="0" collapsed="false">
      <c r="A27" s="20" t="s">
        <v>308</v>
      </c>
      <c r="B27" s="20" t="s">
        <v>309</v>
      </c>
      <c r="C27" s="20" t="s">
        <v>310</v>
      </c>
      <c r="D27" s="20" t="s">
        <v>300</v>
      </c>
    </row>
    <row r="28" customFormat="false" ht="15" hidden="false" customHeight="false" outlineLevel="0" collapsed="false">
      <c r="A28" s="21" t="n">
        <v>0.1</v>
      </c>
      <c r="B28" s="17" t="n">
        <f aca="false">$B$8*(1-A28)</f>
        <v>135</v>
      </c>
      <c r="C28" s="15" t="n">
        <f aca="false">(($B$8-B28)+$B$10)*$B$14</f>
        <v>1300</v>
      </c>
      <c r="D28" s="22" t="n">
        <f aca="false">IF(C28&gt;0,INT($B$19/C28),0)</f>
        <v>7</v>
      </c>
    </row>
    <row r="29" customFormat="false" ht="15" hidden="false" customHeight="false" outlineLevel="0" collapsed="false">
      <c r="A29" s="21" t="n">
        <v>0.2</v>
      </c>
      <c r="B29" s="17" t="n">
        <f aca="false">$B$8*(1-A29)</f>
        <v>120</v>
      </c>
      <c r="C29" s="15" t="n">
        <f aca="false">(($B$8-B29)+$B$10)*$B$14</f>
        <v>2275</v>
      </c>
      <c r="D29" s="22" t="n">
        <f aca="false">IF(C29&gt;0,INT($B$19/C29),0)</f>
        <v>4</v>
      </c>
    </row>
    <row r="30" customFormat="false" ht="15" hidden="false" customHeight="false" outlineLevel="0" collapsed="false">
      <c r="A30" s="21" t="n">
        <v>0.3</v>
      </c>
      <c r="B30" s="17" t="n">
        <f aca="false">$B$8*(1-A30)</f>
        <v>105</v>
      </c>
      <c r="C30" s="15" t="n">
        <f aca="false">(($B$8-B30)+$B$10)*$B$14</f>
        <v>3250</v>
      </c>
      <c r="D30" s="22" t="n">
        <f aca="false">IF(C30&gt;0,INT($B$19/C30),0)</f>
        <v>3</v>
      </c>
    </row>
    <row r="31" customFormat="false" ht="15" hidden="false" customHeight="false" outlineLevel="0" collapsed="false">
      <c r="A31" s="21" t="n">
        <v>0.4</v>
      </c>
      <c r="B31" s="17" t="n">
        <f aca="false">$B$8*(1-A31)</f>
        <v>90</v>
      </c>
      <c r="C31" s="15" t="n">
        <f aca="false">(($B$8-B31)+$B$10)*$B$14</f>
        <v>4225</v>
      </c>
      <c r="D31" s="22" t="n">
        <f aca="false">IF(C31&gt;0,INT($B$19/C31),0)</f>
        <v>2</v>
      </c>
    </row>
    <row r="32" customFormat="false" ht="15" hidden="false" customHeight="false" outlineLevel="0" collapsed="false">
      <c r="A32" s="21" t="n">
        <v>0.5</v>
      </c>
      <c r="B32" s="17" t="n">
        <f aca="false">$B$8*(1-A32)</f>
        <v>75</v>
      </c>
      <c r="C32" s="15" t="n">
        <f aca="false">(($B$8-B32)+$B$10)*$B$14</f>
        <v>5200</v>
      </c>
      <c r="D32" s="22" t="n">
        <f aca="false">IF(C32&gt;0,INT($B$19/C32),0)</f>
        <v>1</v>
      </c>
    </row>
  </sheetData>
  <dataValidations count="2">
    <dataValidation allowBlank="false" errorStyle="stop" operator="between" showDropDown="false" showErrorMessage="false" showInputMessage="false" sqref="B6" type="list">
      <formula1>'Contract Specs'!$B$5:$B$16</formula1>
      <formula2>0</formula2>
    </dataValidation>
    <dataValidation allowBlank="false" errorStyle="stop" operator="between" showDropDown="false" showErrorMessage="false" showInputMessage="false" sqref="B7" type="list">
      <formula1>"Long (buy option),Short (sell option)"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2026-10-23T12:41:25Z</dcterms:created>
  <dc:creator>openpyxl</dc:creator>
  <dc:description/>
  <dc:language>en-US</dc:language>
  <cp:lastModifiedBy/>
  <dcterms:modified xsi:type="dcterms:W3CDTF">2026-10-23T12:41:25Z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